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anush\Downloads\"/>
    </mc:Choice>
  </mc:AlternateContent>
  <xr:revisionPtr revIDLastSave="0" documentId="13_ncr:1_{12E8C064-E4C6-4AA5-804D-B2D6BA621252}" xr6:coauthVersionLast="47" xr6:coauthVersionMax="47" xr10:uidLastSave="{00000000-0000-0000-0000-000000000000}"/>
  <bookViews>
    <workbookView xWindow="-110" yWindow="-110" windowWidth="19420" windowHeight="1102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 i="20" l="1"/>
  <c r="C24" i="20"/>
  <c r="C25" i="20"/>
  <c r="C26" i="20"/>
  <c r="C27" i="20"/>
  <c r="C28" i="20"/>
  <c r="C29" i="20"/>
  <c r="C30" i="20"/>
  <c r="C31" i="20"/>
  <c r="C32" i="20"/>
  <c r="C33" i="20"/>
  <c r="C34" i="20"/>
  <c r="C35" i="20"/>
  <c r="D22" i="19"/>
  <c r="D12" i="19" a="1"/>
  <c r="D12" i="19" s="1"/>
  <c r="C22" i="19" a="1"/>
  <c r="C22" i="19" s="1"/>
  <c r="C30" i="18"/>
  <c r="D30" i="18"/>
  <c r="E30" i="18"/>
  <c r="F30" i="18"/>
  <c r="C29" i="18"/>
  <c r="D29" i="18"/>
  <c r="E29" i="18"/>
  <c r="F29" i="18"/>
  <c r="B29" i="18"/>
  <c r="B30" i="18"/>
  <c r="C28" i="18"/>
  <c r="D28" i="18"/>
  <c r="E28" i="18"/>
  <c r="F28" i="18"/>
  <c r="B28" i="18"/>
  <c r="B7" i="18" a="1"/>
  <c r="B7" i="18" s="1"/>
  <c r="B8" i="18" a="1"/>
  <c r="B8" i="18" s="1"/>
  <c r="B9" i="18" a="1"/>
  <c r="B9" i="18" s="1"/>
  <c r="B10" i="18" a="1"/>
  <c r="B10" i="18" s="1"/>
  <c r="B11" i="18" a="1"/>
  <c r="B11" i="18" s="1"/>
  <c r="B12" i="18" a="1"/>
  <c r="B12" i="18" s="1"/>
  <c r="B13" i="18" a="1"/>
  <c r="B13" i="18" s="1"/>
  <c r="B14" i="18" a="1"/>
  <c r="B14" i="18" s="1"/>
  <c r="B15" i="18" a="1"/>
  <c r="B15" i="18" s="1"/>
  <c r="B16" i="18" a="1"/>
  <c r="B16" i="18" s="1"/>
  <c r="B17" i="18" a="1"/>
  <c r="B17" i="18" s="1"/>
  <c r="B18" i="18" a="1"/>
  <c r="B18" i="18" s="1"/>
  <c r="B19" i="18" a="1"/>
  <c r="B19" i="18" s="1"/>
  <c r="B20" i="18" a="1"/>
  <c r="B20" i="18" s="1"/>
  <c r="B21" i="18" a="1"/>
  <c r="B21" i="18" s="1"/>
  <c r="B22" i="18" a="1"/>
  <c r="B22" i="18" s="1"/>
  <c r="B23" i="18" a="1"/>
  <c r="B23" i="18" s="1"/>
  <c r="B24" i="18" a="1"/>
  <c r="B24" i="18" s="1"/>
  <c r="B25" i="18" a="1"/>
  <c r="B25" i="18" s="1"/>
  <c r="B26" i="18" a="1"/>
  <c r="B26" i="18" s="1"/>
  <c r="B27" i="18" a="1"/>
  <c r="B27" i="18" s="1"/>
  <c r="B6" i="18" a="1"/>
  <c r="B6" i="18" s="1"/>
  <c r="C5" i="1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<sst xmlns="http://schemas.openxmlformats.org/spreadsheetml/2006/main" count="405" uniqueCount="182">
  <si>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</si>
  <si>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</si>
  <si>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</si>
  <si>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</si>
  <si>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</si>
  <si>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</si>
  <si>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</si>
  <si>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</si>
  <si>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</si>
  <si>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</si>
  <si>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</si>
  <si>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</si>
  <si>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</si>
  <si>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</si>
  <si>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</si>
  <si>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</si>
  <si>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</si>
  <si>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</si>
  <si>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</si>
  <si>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</si>
  <si>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</si>
  <si>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</si>
  <si>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</si>
  <si>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</si>
  <si>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</si>
  <si>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</si>
  <si>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</si>
  <si>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</si>
  <si>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</si>
  <si>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</si>
  <si>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</si>
  <si>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</si>
  <si>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</si>
  <si>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</si>
  <si>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</si>
  <si>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</si>
  <si>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</si>
  <si>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</si>
  <si>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</si>
  <si>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</si>
  <si>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</si>
  <si>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</si>
  <si>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</si>
  <si>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</si>
  <si>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</si>
  <si>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</si>
  <si>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</si>
  <si>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</si>
  <si>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</si>
  <si>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</si>
  <si>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</si>
  <si>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</si>
  <si>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</si>
  <si>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</si>
  <si>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</si>
  <si>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</si>
  <si>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</si>
  <si>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</si>
  <si>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</si>
  <si>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</si>
  <si>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</si>
  <si>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</si>
  <si>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</si>
  <si>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</si>
  <si>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</si>
  <si>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</si>
  <si>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</si>
  <si>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</si>
  <si>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</si>
  <si>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</si>
  <si>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</si>
  <si>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</si>
  <si>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</si>
  <si>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</si>
  <si>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</si>
  <si>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</si>
  <si>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</si>
  <si>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</si>
  <si>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</si>
  <si>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</si>
  <si>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</si>
  <si>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</si>
  <si>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</si>
  <si>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</si>
  <si>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</si>
  <si>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</si>
  <si>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</si>
  <si>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</si>
  <si>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</si>
  <si>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</si>
  <si>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</si>
  <si>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</si>
  <si>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</si>
  <si>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</si>
  <si>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</si>
  <si>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</si>
  <si>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</si>
  <si>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</si>
  <si>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</si>
  <si>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</si>
  <si>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</si>
  <si>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</si>
  <si>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</si>
  <si>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</si>
  <si>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</si>
  <si>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</si>
  <si>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</si>
  <si>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</si>
  <si>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</si>
  <si>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</si>
  <si>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</si>
  <si>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</si>
  <si>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</si>
  <si>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</si>
  <si>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</si>
  <si>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</si>
  <si>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</si>
  <si>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</si>
  <si>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</si>
  <si>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</si>
  <si>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</si>
  <si>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</si>
  <si>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</si>
  <si>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</si>
  <si>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</si>
  <si>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</si>
  <si>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</si>
  <si>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</si>
  <si>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</si>
  <si>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</si>
  <si>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</si>
  <si>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</si>
  <si>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</si>
  <si>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</si>
  <si>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</si>
  <si>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</si>
  <si>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</si>
  <si>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</si>
  <si>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</si>
  <si>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</si>
  <si>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</si>
  <si>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</si>
  <si>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</si>
  <si>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</si>
  <si>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</si>
  <si>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</si>
  <si>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</si>
  <si>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</si>
  <si>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</si>
  <si>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</si>
  <si>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</si>
  <si>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</si>
  <si>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</si>
  <si>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</si>
  <si>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</si>
  <si>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</si>
  <si>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</si>
  <si>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</si>
  <si>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</si>
  <si>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</si>
  <si>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</si>
  <si>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</si>
  <si>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</si>
  <si>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</si>
  <si>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</si>
  <si>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</si>
  <si>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</si>
  <si>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</si>
  <si>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</si>
  <si>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</si>
  <si>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</si>
  <si>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</si>
  <si>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</si>
  <si>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</si>
  <si>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</si>
  <si>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</si>
  <si>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</si>
  <si>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Detailed Step</t>
  </si>
  <si>
    <t>By using IfError and Sum : =SUM(IFERROR(C12:C20, 20))</t>
  </si>
  <si>
    <t>The task is to calculate the total sales from the "Sales" column in Table_A, but if any value shows #N/A, it needs to be replaced with 20 before adding up the sales. To do this, we use the IFERROR function, which replaces any error (like #N/A) with 20. After that, the SUM function is used to total all the values in the column, including the replaced ones. This way, even if some sales are missing, they are counted as 20 to complete the calculation.</t>
  </si>
  <si>
    <t>INDEX($A$9:$J$18,MATCH(VLOOKUP(A23,$M$9:$N$18,2,FALSE),$A$9:$A$18,0),MATCH(VLOOKUP(B23,$M$9:$N$18,2,FALSE),$A$9:$J$9,0))</t>
  </si>
  <si>
    <t>I used a formula that combines VLOOKUP, INDEX, and MATCH functions to fill the "value" column in Table_C based on data from Table_A and Table_B. First, I used VLOOKUP to match the IDs from Table_C to the corresponding names in Table_B. Then, I used MATCH to find the exact row and column in Table_A where these names appear. Finally, with the INDEX function, I retrieved the value from Table_A at the intersection of the matched row and column. This formula ensures that for every pair of names in Table_C, the correct value from Table_A is displayed.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</si>
</sst>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7" formatCode="yyyy/mm/dd"/>
  </numFmts>
  <fonts count="20"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b/>
      <sz val="9"/>
      <color rgb="FF000000"/>
      <name val="Calibri"/>
      <family val="2"/>
      <scheme val="minor"/>
    </font>
    <font>
      <b/>
      <i/>
      <sz val="9"/>
      <color rgb="FF00000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0">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167" fontId="7" fillId="0" borderId="0" xfId="0" applyNumberFormat="1" applyFont="1"/>
    <xf numFmtId="167" fontId="3" fillId="0" borderId="0" xfId="0" applyNumberFormat="1" applyFont="1"/>
    <xf numFmtId="167" fontId="0" fillId="0" borderId="0" xfId="0" applyNumberFormat="1"/>
    <xf numFmtId="0" fontId="17" fillId="4" borderId="1" xfId="0" applyFont="1" applyFill="1" applyBorder="1"/>
    <xf numFmtId="0" fontId="2" fillId="0" borderId="0" xfId="0" applyFont="1"/>
    <xf numFmtId="0" fontId="18" fillId="0" borderId="0" xfId="0" applyFont="1"/>
    <xf numFmtId="0" fontId="19" fillId="0" borderId="0" xfId="0" applyFont="1" applyAlignme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34">
    <dxf>
      <font>
        <b/>
        <i val="0"/>
      </font>
      <fill>
        <patternFill>
          <fgColor theme="9"/>
          <bgColor rgb="FF92D050"/>
        </patternFill>
      </fill>
      <border>
        <left style="thin">
          <color auto="1"/>
        </left>
        <right style="thin">
          <color auto="1"/>
        </right>
        <top style="thin">
          <color auto="1"/>
        </top>
        <bottom style="thin">
          <color auto="1"/>
        </bottom>
        <vertical/>
        <horizontal/>
      </border>
    </dxf>
    <dxf>
      <font>
        <b/>
        <i val="0"/>
      </font>
      <fill>
        <patternFill>
          <fgColor rgb="FFF30D18"/>
        </patternFill>
      </fill>
      <border>
        <left style="thin">
          <color auto="1"/>
        </left>
        <right style="thin">
          <color auto="1"/>
        </right>
        <top style="thin">
          <color auto="1"/>
        </top>
        <bottom style="thin">
          <color auto="1"/>
        </bottom>
        <vertical/>
        <horizontal/>
      </border>
    </dxf>
    <dxf>
      <font>
        <color rgb="FF006100"/>
      </font>
      <fill>
        <patternFill>
          <bgColor rgb="FFC6EFCE"/>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Calibri"/>
        <family val="2"/>
        <scheme val="minor"/>
      </font>
      <fill>
        <patternFill patternType="solid">
          <fgColor rgb="FF000000"/>
          <bgColor rgb="FFB1A0C7"/>
        </patternFill>
      </fill>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numFmt numFmtId="167" formatCode="yyyy/mm/dd"/>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numFmt numFmtId="164" formatCode="hh:mm:ss;@"/>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numFmt numFmtId="164" formatCode="hh:mm:ss;@"/>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33"/>
      <tableStyleElement type="headerRow" dxfId="32"/>
    </tableStyle>
  </tableStyles>
  <colors>
    <mruColors>
      <color rgb="FFF30D18"/>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B27D252-269D-4720-AEA3-8601662F9395}" name="Dataset" displayName="Dataset" ref="A1:X40" totalsRowShown="0" headerRowDxfId="6" dataDxfId="7">
  <autoFilter ref="A1:X40" xr:uid="{0B27D252-269D-4720-AEA3-8601662F9395}"/>
  <tableColumns count="24">
    <tableColumn id="1" xr3:uid="{98273CD9-613F-4487-97E8-1075EE5601AE}" name="name" dataDxfId="31"/>
    <tableColumn id="2" xr3:uid="{8151A67E-8F79-412B-9D2D-FBEE9FA724C3}" name="ID" dataDxfId="30"/>
    <tableColumn id="3" xr3:uid="{4EED1774-2400-46EF-BDAB-39EFCB09FC9D}" name="start_day" dataDxfId="29"/>
    <tableColumn id="4" xr3:uid="{953AB218-6E4B-4F7A-AECD-E5540DB6C522}" name="start_time" dataDxfId="28"/>
    <tableColumn id="5" xr3:uid="{89A8D922-4318-442F-B037-5A17D3138ABB}" name="end_day" dataDxfId="27"/>
    <tableColumn id="6" xr3:uid="{6BB370BA-97E1-4974-BFA1-2DAC7E839C0C}" name="end_time" dataDxfId="26"/>
    <tableColumn id="7" xr3:uid="{57FF9D16-10BF-4645-BB06-34E123C03266}" name="car1" dataDxfId="25"/>
    <tableColumn id="8" xr3:uid="{0802E8AB-C66D-440E-A67C-0BB97E267E65}" name="car2" dataDxfId="24"/>
    <tableColumn id="9" xr3:uid="{5F4DFD1A-2ADC-4C31-83A3-DB57B154D090}" name="car3" dataDxfId="23"/>
    <tableColumn id="10" xr3:uid="{B76E46D6-8173-4214-9B3F-1C5146BD958F}" name="moto1" dataDxfId="22"/>
    <tableColumn id="11" xr3:uid="{4BAA1A31-4A53-46FF-ABA3-09CD9AF11635}" name="moto2" dataDxfId="21"/>
    <tableColumn id="12" xr3:uid="{756F2262-BFAA-4584-AADA-9B17712D6B8E}" name="moto3" dataDxfId="20"/>
    <tableColumn id="13" xr3:uid="{7EBB10B6-4183-4021-9FCC-3A16CE74CB81}" name="bus1" dataDxfId="19"/>
    <tableColumn id="14" xr3:uid="{D780B57B-9D59-4885-8757-5819211D6434}" name="bus2" dataDxfId="18"/>
    <tableColumn id="15" xr3:uid="{0E0D1BB6-26B7-4DE5-BD81-F1475B6676DB}" name="bus3" dataDxfId="17"/>
    <tableColumn id="16" xr3:uid="{D4423289-7653-4CB7-B875-30F3C9073015}" name="rv1" dataDxfId="16"/>
    <tableColumn id="17" xr3:uid="{B8C0FDEC-D949-465E-8CA6-BD93FA5BD22D}" name="rv2" dataDxfId="15"/>
    <tableColumn id="18" xr3:uid="{A32C8847-5FD1-4E32-BB21-C6CC33AB6E75}" name="rv3" dataDxfId="14"/>
    <tableColumn id="19" xr3:uid="{45773931-39FE-46BB-A4B3-909377580B0C}" name="truck1" dataDxfId="13"/>
    <tableColumn id="20" xr3:uid="{B2E3F39B-CBEC-48E7-99C8-A686D22426B6}" name="truck2" dataDxfId="12"/>
    <tableColumn id="21" xr3:uid="{ED535A24-3165-4E55-994B-8DAA38E5878C}" name="taxi1" dataDxfId="11"/>
    <tableColumn id="22" xr3:uid="{568F5965-030E-4DF8-AEC2-B3E0758926F6}" name="taxi2" dataDxfId="10"/>
    <tableColumn id="23" xr3:uid="{41369E80-2B88-46FE-9550-92CCC52BF4A3}" name="taxi3" dataDxfId="9"/>
    <tableColumn id="24" xr3:uid="{F8826F6D-5D3C-4815-907D-EF37E50432DD}" name="date"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8" t="s">
        <v>108</v>
      </c>
    </row>
    <row r="2" spans="1:3" x14ac:dyDescent="0.3">
      <c r="A2" s="2" t="s">
        <v>109</v>
      </c>
    </row>
    <row r="3" spans="1:3" x14ac:dyDescent="0.3">
      <c r="A3" s="2" t="s">
        <v>110</v>
      </c>
    </row>
    <row r="4" spans="1:3" ht="14.5" x14ac:dyDescent="0.35">
      <c r="A4" s="2" t="s">
        <v>176</v>
      </c>
      <c r="C4" s="1"/>
    </row>
    <row r="5" spans="1:3" x14ac:dyDescent="0.3">
      <c r="A5" s="2" t="s">
        <v>151</v>
      </c>
    </row>
    <row r="8" spans="1:3" x14ac:dyDescent="0.3">
      <c r="A8" s="2" t="s">
        <v>172</v>
      </c>
    </row>
    <row r="9" spans="1:3" x14ac:dyDescent="0.3">
      <c r="A9" s="35" t="s">
        <v>170</v>
      </c>
      <c r="B9" s="25" t="s">
        <v>168</v>
      </c>
    </row>
    <row r="10" spans="1:3" x14ac:dyDescent="0.3">
      <c r="A10" s="34" t="s">
        <v>171</v>
      </c>
      <c r="B10" s="36">
        <v>25</v>
      </c>
    </row>
    <row r="11" spans="1:3" x14ac:dyDescent="0.3">
      <c r="A11" s="34" t="s">
        <v>55</v>
      </c>
      <c r="B11" s="36">
        <v>30</v>
      </c>
    </row>
    <row r="12" spans="1:3" x14ac:dyDescent="0.3">
      <c r="A12" s="34" t="s">
        <v>56</v>
      </c>
      <c r="B12" s="36">
        <v>10</v>
      </c>
    </row>
    <row r="13" spans="1:3" x14ac:dyDescent="0.3">
      <c r="A13" s="34" t="s">
        <v>85</v>
      </c>
      <c r="B13" s="36">
        <v>20</v>
      </c>
    </row>
    <row r="14" spans="1:3" x14ac:dyDescent="0.3">
      <c r="A14" s="34" t="s">
        <v>98</v>
      </c>
      <c r="B14" s="36">
        <v>40</v>
      </c>
    </row>
    <row r="15" spans="1:3" x14ac:dyDescent="0.3">
      <c r="A15" s="37" t="s">
        <v>169</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zoomScale="72" zoomScaleNormal="72" workbookViewId="0">
      <pane ySplit="1" topLeftCell="A2" activePane="bottomLeft" state="frozen"/>
      <selection pane="bottomLeft" activeCell="D16" sqref="D16"/>
    </sheetView>
  </sheetViews>
  <sheetFormatPr defaultColWidth="9" defaultRowHeight="14.5" x14ac:dyDescent="0.35"/>
  <cols>
    <col min="1" max="1" width="25.3984375" style="1" bestFit="1" customWidth="1"/>
    <col min="2" max="2" width="7.3984375" style="1" bestFit="1" customWidth="1"/>
    <col min="3" max="3" width="12.19921875" style="1" customWidth="1"/>
    <col min="4" max="4" width="13.09765625" style="23" customWidth="1"/>
    <col min="5" max="5" width="11.3984375" style="1" customWidth="1"/>
    <col min="6" max="6" width="12.19921875" style="23" customWidth="1"/>
    <col min="7" max="9" width="12.796875" bestFit="1" customWidth="1"/>
    <col min="10" max="12" width="13" bestFit="1" customWidth="1"/>
    <col min="13" max="15" width="14.19921875" bestFit="1" customWidth="1"/>
    <col min="16" max="18" width="14.3984375" bestFit="1" customWidth="1"/>
    <col min="19" max="20" width="18.796875" bestFit="1" customWidth="1"/>
    <col min="21" max="23" width="19" bestFit="1" customWidth="1"/>
    <col min="24" max="24" width="13.59765625" style="45" customWidth="1"/>
    <col min="25" max="16384" width="9" style="1"/>
  </cols>
  <sheetData>
    <row r="1" spans="1:24" s="3" customFormat="1" ht="14.75" customHeight="1" x14ac:dyDescent="0.35">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43" t="s">
        <v>105</v>
      </c>
    </row>
    <row r="2" spans="1:24" x14ac:dyDescent="0.35">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4">
        <v>45051</v>
      </c>
    </row>
    <row r="3" spans="1:24" x14ac:dyDescent="0.35">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4">
        <v>45048</v>
      </c>
    </row>
    <row r="4" spans="1:24" x14ac:dyDescent="0.35">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4">
        <v>45055</v>
      </c>
    </row>
    <row r="5" spans="1:24" x14ac:dyDescent="0.35">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4">
        <v>45059</v>
      </c>
    </row>
    <row r="6" spans="1:24" x14ac:dyDescent="0.35">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4">
        <v>45076</v>
      </c>
    </row>
    <row r="7" spans="1:24" x14ac:dyDescent="0.35">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4">
        <v>45057</v>
      </c>
    </row>
    <row r="8" spans="1:24" x14ac:dyDescent="0.35">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4">
        <v>45052</v>
      </c>
    </row>
    <row r="9" spans="1:24" x14ac:dyDescent="0.35">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4">
        <v>45098</v>
      </c>
    </row>
    <row r="10" spans="1:24" x14ac:dyDescent="0.35">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4">
        <v>45092</v>
      </c>
    </row>
    <row r="11" spans="1:24" x14ac:dyDescent="0.35">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4">
        <v>45104</v>
      </c>
    </row>
    <row r="12" spans="1:24" x14ac:dyDescent="0.35">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4">
        <v>45116</v>
      </c>
    </row>
    <row r="13" spans="1:24" x14ac:dyDescent="0.35">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4">
        <v>45110</v>
      </c>
    </row>
    <row r="14" spans="1:24" x14ac:dyDescent="0.35">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4">
        <v>45095</v>
      </c>
    </row>
    <row r="15" spans="1:24" x14ac:dyDescent="0.35">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4">
        <v>45113</v>
      </c>
    </row>
    <row r="16" spans="1:24" x14ac:dyDescent="0.35">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4">
        <v>45063</v>
      </c>
    </row>
    <row r="17" spans="1:24" x14ac:dyDescent="0.35">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4">
        <v>45071</v>
      </c>
    </row>
    <row r="18" spans="1:24" x14ac:dyDescent="0.35">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4">
        <v>45085</v>
      </c>
    </row>
    <row r="19" spans="1:24" x14ac:dyDescent="0.35">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4">
        <v>45099</v>
      </c>
    </row>
    <row r="20" spans="1:24" x14ac:dyDescent="0.35">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4">
        <v>45091</v>
      </c>
    </row>
    <row r="21" spans="1:24" x14ac:dyDescent="0.35">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4">
        <v>45079</v>
      </c>
    </row>
    <row r="22" spans="1:24" x14ac:dyDescent="0.35">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4">
        <v>45075</v>
      </c>
    </row>
    <row r="23" spans="1:24" x14ac:dyDescent="0.35">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4">
        <v>45110</v>
      </c>
    </row>
    <row r="24" spans="1:24" x14ac:dyDescent="0.35">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4">
        <v>45114</v>
      </c>
    </row>
    <row r="25" spans="1:24" x14ac:dyDescent="0.35">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4">
        <v>45118</v>
      </c>
    </row>
    <row r="26" spans="1:24" x14ac:dyDescent="0.35">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4">
        <v>45142</v>
      </c>
    </row>
    <row r="27" spans="1:24" x14ac:dyDescent="0.35">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4">
        <v>45146</v>
      </c>
    </row>
    <row r="28" spans="1:24" x14ac:dyDescent="0.35">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4">
        <v>45108</v>
      </c>
    </row>
    <row r="29" spans="1:24" x14ac:dyDescent="0.35">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4">
        <v>45153</v>
      </c>
    </row>
    <row r="30" spans="1:24" x14ac:dyDescent="0.35">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4">
        <v>45150</v>
      </c>
    </row>
    <row r="31" spans="1:24" x14ac:dyDescent="0.35">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4">
        <v>45157</v>
      </c>
    </row>
    <row r="32" spans="1:24" x14ac:dyDescent="0.35">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4">
        <v>45143</v>
      </c>
    </row>
    <row r="33" spans="1:24" x14ac:dyDescent="0.35">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4">
        <v>45166</v>
      </c>
    </row>
    <row r="34" spans="1:24" x14ac:dyDescent="0.35">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4">
        <v>45162</v>
      </c>
    </row>
    <row r="35" spans="1:24" x14ac:dyDescent="0.35">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4">
        <v>45160</v>
      </c>
    </row>
    <row r="36" spans="1:24" x14ac:dyDescent="0.35">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4">
        <v>45179</v>
      </c>
    </row>
    <row r="37" spans="1:24" x14ac:dyDescent="0.35">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4">
        <v>45157</v>
      </c>
    </row>
    <row r="38" spans="1:24" x14ac:dyDescent="0.35">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4">
        <v>45143</v>
      </c>
    </row>
    <row r="39" spans="1:24" x14ac:dyDescent="0.35">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4">
        <v>45166</v>
      </c>
    </row>
    <row r="40" spans="1:24" x14ac:dyDescent="0.35">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4">
        <v>45162</v>
      </c>
    </row>
  </sheetData>
  <conditionalFormatting sqref="A1:A1048576">
    <cfRule type="duplicateValues" dxfId="5" priority="6"/>
  </conditionalFormatting>
  <conditionalFormatting sqref="B1:B1048576">
    <cfRule type="duplicateValues" dxfId="4" priority="5"/>
  </conditionalFormatting>
  <conditionalFormatting sqref="A1:XFD40 A41:F1048576 Y41:XFD1048576">
    <cfRule type="cellIs" dxfId="3" priority="4" operator="equal">
      <formula>$J$2</formula>
    </cfRule>
  </conditionalFormatting>
  <conditionalFormatting sqref="G1:X40">
    <cfRule type="cellIs" dxfId="2" priority="3" operator="equal">
      <formula>0</formula>
    </cfRule>
  </conditionalFormatting>
  <conditionalFormatting sqref="A1:XFD40 A41:F1048576 X41:XFD1048576">
    <cfRule type="cellIs" dxfId="1" priority="2" operator="equal">
      <formula>-1</formula>
    </cfRule>
  </conditionalFormatting>
  <conditionalFormatting sqref="G1:W40">
    <cfRule type="cellIs" dxfId="0" priority="1" operator="equal">
      <formula>0</formula>
    </cfRule>
  </conditionalFormatting>
  <pageMargins left="0.75" right="0.75" top="1" bottom="1" header="0.5" footer="0.5"/>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6" sqref="C6"/>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5" x14ac:dyDescent="0.35">
      <c r="A1" s="4" t="s">
        <v>47</v>
      </c>
      <c r="B1" s="4" t="s">
        <v>48</v>
      </c>
      <c r="C1" s="4" t="s">
        <v>44</v>
      </c>
      <c r="E1" s="4" t="s">
        <v>175</v>
      </c>
    </row>
    <row r="2" spans="1:5" x14ac:dyDescent="0.35">
      <c r="A2" s="2"/>
      <c r="B2" s="5" t="s">
        <v>159</v>
      </c>
      <c r="C2" s="2"/>
    </row>
    <row r="3" spans="1:5" x14ac:dyDescent="0.35">
      <c r="A3" s="6">
        <v>1</v>
      </c>
      <c r="B3" s="2" t="s">
        <v>107</v>
      </c>
      <c r="C3" s="2" t="s">
        <v>45</v>
      </c>
      <c r="E3" s="1">
        <v>5</v>
      </c>
    </row>
    <row r="4" spans="1:5" x14ac:dyDescent="0.35">
      <c r="A4" s="6">
        <v>2</v>
      </c>
      <c r="B4" s="2" t="s">
        <v>46</v>
      </c>
      <c r="C4" s="2"/>
      <c r="E4" s="1">
        <v>5</v>
      </c>
    </row>
    <row r="5" spans="1:5" x14ac:dyDescent="0.35">
      <c r="A5" s="6">
        <v>3</v>
      </c>
      <c r="B5" s="2" t="s">
        <v>104</v>
      </c>
      <c r="C5" s="33">
        <f>SUMIF(Dataset!$H$2:$H$40,"&gt;20")</f>
        <v>1473.0000000000002</v>
      </c>
      <c r="E5" s="1">
        <v>10</v>
      </c>
    </row>
    <row r="6" spans="1:5" x14ac:dyDescent="0.35">
      <c r="A6" s="6">
        <v>4</v>
      </c>
      <c r="B6" s="2" t="s">
        <v>106</v>
      </c>
      <c r="C6" s="2"/>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65" zoomScaleNormal="65" workbookViewId="0">
      <selection activeCell="H19" sqref="H19"/>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40" customFormat="1" ht="21" x14ac:dyDescent="0.5">
      <c r="A1" s="41" t="s">
        <v>55</v>
      </c>
      <c r="B1" s="40" t="s">
        <v>163</v>
      </c>
    </row>
    <row r="2" spans="1:7" s="40" customFormat="1" ht="21" x14ac:dyDescent="0.5">
      <c r="B2" s="40" t="s">
        <v>160</v>
      </c>
    </row>
    <row r="3" spans="1:7" ht="14.5" x14ac:dyDescent="0.35">
      <c r="A3" s="1"/>
      <c r="B3" s="1"/>
      <c r="C3" s="1"/>
      <c r="D3" s="1"/>
      <c r="E3" s="1"/>
      <c r="F3" s="1"/>
      <c r="G3" s="1"/>
    </row>
    <row r="4" spans="1:7" ht="23.5" x14ac:dyDescent="0.55000000000000004">
      <c r="A4" s="17" t="s">
        <v>161</v>
      </c>
      <c r="B4" s="1"/>
      <c r="C4" s="1"/>
      <c r="D4" s="1"/>
      <c r="E4" s="1"/>
      <c r="F4" s="1"/>
      <c r="G4" s="1"/>
    </row>
    <row r="5" spans="1:7" ht="14.5" x14ac:dyDescent="0.35">
      <c r="A5" s="19" t="s">
        <v>64</v>
      </c>
      <c r="B5" s="20" t="s">
        <v>79</v>
      </c>
      <c r="C5" s="21" t="s">
        <v>71</v>
      </c>
      <c r="D5" s="20" t="s">
        <v>75</v>
      </c>
      <c r="E5" s="21" t="s">
        <v>76</v>
      </c>
      <c r="F5" s="22" t="s">
        <v>77</v>
      </c>
    </row>
    <row r="6" spans="1:7" ht="14.5" x14ac:dyDescent="0.35">
      <c r="A6" s="7" t="s">
        <v>40</v>
      </c>
      <c r="B6" s="12" cm="1">
        <f t="array" ref="B6:F6">VLOOKUP(A6,Dataset[#All],{7,14,18,20,22},0)</f>
        <v>2.7</v>
      </c>
      <c r="C6" s="12">
        <v>7.6</v>
      </c>
      <c r="D6" s="12">
        <v>4.2</v>
      </c>
      <c r="E6" s="12">
        <v>8.9</v>
      </c>
      <c r="F6" s="8">
        <v>4.2</v>
      </c>
    </row>
    <row r="7" spans="1:7" ht="14.5" x14ac:dyDescent="0.35">
      <c r="A7" s="7" t="s">
        <v>4</v>
      </c>
      <c r="B7" s="12" cm="1">
        <f t="array" ref="B7:F7">VLOOKUP(A7,Dataset[#All],{7,14,18,20,22},0)</f>
        <v>2.7</v>
      </c>
      <c r="C7" s="12">
        <v>7.6</v>
      </c>
      <c r="D7" s="12">
        <v>4.2</v>
      </c>
      <c r="E7" s="12">
        <v>8.9</v>
      </c>
      <c r="F7" s="8">
        <v>4.2</v>
      </c>
    </row>
    <row r="8" spans="1:7" ht="14.5" x14ac:dyDescent="0.35">
      <c r="A8" s="7" t="s">
        <v>7</v>
      </c>
      <c r="B8" s="12" cm="1">
        <f t="array" ref="B8:F8">VLOOKUP(A8,Dataset[#All],{7,14,18,20,22},0)</f>
        <v>3.6</v>
      </c>
      <c r="C8" s="12">
        <v>11.1</v>
      </c>
      <c r="D8" s="12">
        <v>5.8</v>
      </c>
      <c r="E8" s="12">
        <v>12.2</v>
      </c>
      <c r="F8" s="8">
        <v>5.8</v>
      </c>
    </row>
    <row r="9" spans="1:7" ht="14.5" x14ac:dyDescent="0.35">
      <c r="A9" s="7" t="s">
        <v>8</v>
      </c>
      <c r="B9" s="12" cm="1">
        <f t="array" ref="B9:F9">VLOOKUP(A9,Dataset[#All],{7,14,18,20,22},0)</f>
        <v>4.9000000000000004</v>
      </c>
      <c r="C9" s="12">
        <v>13.3</v>
      </c>
      <c r="D9" s="12">
        <v>8.1</v>
      </c>
      <c r="E9" s="12">
        <v>17</v>
      </c>
      <c r="F9" s="8">
        <v>8.1</v>
      </c>
    </row>
    <row r="10" spans="1:7" ht="14.5" x14ac:dyDescent="0.35">
      <c r="A10" s="7" t="s">
        <v>11</v>
      </c>
      <c r="B10" s="12" cm="1">
        <f t="array" ref="B10:F10">VLOOKUP(A10,Dataset[#All],{7,14,18,20,22},0)</f>
        <v>9.4</v>
      </c>
      <c r="C10" s="12">
        <v>28.3</v>
      </c>
      <c r="D10" s="12">
        <v>16.100000000000001</v>
      </c>
      <c r="E10" s="12">
        <v>32.799999999999997</v>
      </c>
      <c r="F10" s="8">
        <v>16.100000000000001</v>
      </c>
    </row>
    <row r="11" spans="1:7" ht="14.5" x14ac:dyDescent="0.35">
      <c r="A11" s="7" t="s">
        <v>12</v>
      </c>
      <c r="B11" s="12" cm="1">
        <f t="array" ref="B11:F11">VLOOKUP(A11,Dataset[#All],{7,14,18,20,22},0)</f>
        <v>11.6</v>
      </c>
      <c r="C11" s="12">
        <v>35.200000000000003</v>
      </c>
      <c r="D11" s="12">
        <v>21.3</v>
      </c>
      <c r="E11" s="12">
        <v>43</v>
      </c>
      <c r="F11" s="8">
        <v>21.3</v>
      </c>
    </row>
    <row r="12" spans="1:7" ht="14.5" x14ac:dyDescent="0.35">
      <c r="A12" s="7" t="s">
        <v>14</v>
      </c>
      <c r="B12" s="12" cm="1">
        <f t="array" ref="B12:F12">VLOOKUP(A12,Dataset[#All],{7,14,18,20,22},0)</f>
        <v>18.399999999999999</v>
      </c>
      <c r="C12" s="12">
        <v>55.6</v>
      </c>
      <c r="D12" s="12">
        <v>33.799999999999997</v>
      </c>
      <c r="E12" s="12">
        <v>67.900000000000006</v>
      </c>
      <c r="F12" s="8">
        <v>33.799999999999997</v>
      </c>
    </row>
    <row r="13" spans="1:7" ht="14.5" x14ac:dyDescent="0.35">
      <c r="A13" s="7" t="s">
        <v>15</v>
      </c>
      <c r="B13" s="12" cm="1">
        <f t="array" ref="B13:F13">VLOOKUP(A13,Dataset[#All],{7,14,18,20,22},0)</f>
        <v>0</v>
      </c>
      <c r="C13" s="12">
        <v>0</v>
      </c>
      <c r="D13" s="12">
        <v>0</v>
      </c>
      <c r="E13" s="12">
        <v>0</v>
      </c>
      <c r="F13" s="8">
        <v>0</v>
      </c>
    </row>
    <row r="14" spans="1:7" ht="14.5" x14ac:dyDescent="0.35">
      <c r="A14" s="7" t="s">
        <v>16</v>
      </c>
      <c r="B14" s="12" cm="1">
        <f t="array" ref="B14:F14">VLOOKUP(A14,Dataset[#All],{7,14,18,20,22},0)</f>
        <v>21.9</v>
      </c>
      <c r="C14" s="12">
        <v>61.5</v>
      </c>
      <c r="D14" s="12">
        <v>40.1</v>
      </c>
      <c r="E14" s="12">
        <v>76.599999999999994</v>
      </c>
      <c r="F14" s="8">
        <v>40.1</v>
      </c>
    </row>
    <row r="15" spans="1:7" ht="14.5" x14ac:dyDescent="0.35">
      <c r="A15" s="7" t="s">
        <v>18</v>
      </c>
      <c r="B15" s="12" cm="1">
        <f t="array" ref="B15:F15">VLOOKUP(A15,Dataset[#All],{7,14,18,20,22},0)</f>
        <v>26.8</v>
      </c>
      <c r="C15" s="12">
        <v>79.599999999999994</v>
      </c>
      <c r="D15" s="12">
        <v>47.9</v>
      </c>
      <c r="E15" s="12">
        <v>96.8</v>
      </c>
      <c r="F15" s="8">
        <v>47.9</v>
      </c>
    </row>
    <row r="16" spans="1:7" ht="14.5" x14ac:dyDescent="0.35">
      <c r="A16" s="7" t="s">
        <v>20</v>
      </c>
      <c r="B16" s="12" cm="1">
        <f t="array" ref="B16:F16">VLOOKUP(A16,Dataset[#All],{7,14,18,20,22},0)</f>
        <v>28.5</v>
      </c>
      <c r="C16" s="12">
        <v>85.4</v>
      </c>
      <c r="D16" s="12">
        <v>52.3</v>
      </c>
      <c r="E16" s="12">
        <v>106.1</v>
      </c>
      <c r="F16" s="8">
        <v>52.3</v>
      </c>
    </row>
    <row r="17" spans="1:6" ht="14.5" x14ac:dyDescent="0.35">
      <c r="A17" s="7" t="s">
        <v>22</v>
      </c>
      <c r="B17" s="12" cm="1">
        <f t="array" ref="B17:F17">VLOOKUP(A17,Dataset[#All],{7,14,18,20,22},0)</f>
        <v>30.7</v>
      </c>
      <c r="C17" s="12">
        <v>92.1</v>
      </c>
      <c r="D17" s="12">
        <v>57</v>
      </c>
      <c r="E17" s="12">
        <v>115.1</v>
      </c>
      <c r="F17" s="8">
        <v>57</v>
      </c>
    </row>
    <row r="18" spans="1:6" ht="14.5" x14ac:dyDescent="0.35">
      <c r="A18" s="7" t="s">
        <v>23</v>
      </c>
      <c r="B18" s="12" cm="1">
        <f t="array" ref="B18:F18">VLOOKUP(A18,Dataset[#All],{7,14,18,20,22},0)</f>
        <v>33.799999999999997</v>
      </c>
      <c r="C18" s="12">
        <v>101.3</v>
      </c>
      <c r="D18" s="12">
        <v>61.4</v>
      </c>
      <c r="E18" s="12">
        <v>124.4</v>
      </c>
      <c r="F18" s="8">
        <v>61.4</v>
      </c>
    </row>
    <row r="19" spans="1:6" ht="14.5" x14ac:dyDescent="0.35">
      <c r="A19" s="7" t="s">
        <v>24</v>
      </c>
      <c r="B19" s="12" cm="1">
        <f t="array" ref="B19:F19">VLOOKUP(A19,Dataset[#All],{7,14,18,20,22},0)</f>
        <v>34.700000000000003</v>
      </c>
      <c r="C19" s="12">
        <v>106.1</v>
      </c>
      <c r="D19" s="12">
        <v>63.6</v>
      </c>
      <c r="E19" s="12">
        <v>128.6</v>
      </c>
      <c r="F19" s="8">
        <v>63.6</v>
      </c>
    </row>
    <row r="20" spans="1:6" ht="14.5" x14ac:dyDescent="0.35">
      <c r="A20" s="7" t="s">
        <v>28</v>
      </c>
      <c r="B20" s="12" cm="1">
        <f t="array" ref="B20:F20">VLOOKUP(A20,Dataset[#All],{7,14,18,20,22},0)</f>
        <v>0</v>
      </c>
      <c r="C20" s="12">
        <v>0</v>
      </c>
      <c r="D20" s="12">
        <v>0</v>
      </c>
      <c r="E20" s="12">
        <v>0</v>
      </c>
      <c r="F20" s="8">
        <v>0</v>
      </c>
    </row>
    <row r="21" spans="1:6" ht="14.5" x14ac:dyDescent="0.35">
      <c r="A21" s="7" t="s">
        <v>57</v>
      </c>
      <c r="B21" s="12" cm="1">
        <f t="array" ref="B21:F21">VLOOKUP(A21,Dataset[#All],{7,14,18,20,22},0)</f>
        <v>41.3</v>
      </c>
      <c r="C21" s="12">
        <v>124.4</v>
      </c>
      <c r="D21" s="12">
        <v>75</v>
      </c>
      <c r="E21" s="12">
        <v>151.5</v>
      </c>
      <c r="F21" s="8">
        <v>75</v>
      </c>
    </row>
    <row r="22" spans="1:6" ht="14.5" x14ac:dyDescent="0.35">
      <c r="A22" s="7" t="s">
        <v>58</v>
      </c>
      <c r="B22" s="12" cm="1">
        <f t="array" ref="B22:F22">VLOOKUP(A22,Dataset[#All],{7,14,18,20,22},0)</f>
        <v>-1</v>
      </c>
      <c r="C22" s="12">
        <v>-1</v>
      </c>
      <c r="D22" s="12">
        <v>-1</v>
      </c>
      <c r="E22" s="12">
        <v>-1</v>
      </c>
      <c r="F22" s="8">
        <v>-1</v>
      </c>
    </row>
    <row r="23" spans="1:6" ht="14.5" x14ac:dyDescent="0.35">
      <c r="A23" s="7" t="s">
        <v>31</v>
      </c>
      <c r="B23" s="12" cm="1">
        <f t="array" ref="B23:F23">VLOOKUP(A23,Dataset[#All],{7,14,18,20,22},0)</f>
        <v>45</v>
      </c>
      <c r="C23" s="12">
        <v>133.4</v>
      </c>
      <c r="D23" s="12">
        <v>79.400000000000006</v>
      </c>
      <c r="E23" s="12">
        <v>160.9</v>
      </c>
      <c r="F23" s="8">
        <v>79.400000000000006</v>
      </c>
    </row>
    <row r="24" spans="1:6" ht="14.5" x14ac:dyDescent="0.35">
      <c r="A24" s="7" t="s">
        <v>32</v>
      </c>
      <c r="B24" s="12" cm="1">
        <f t="array" ref="B24:F24">VLOOKUP(A24,Dataset[#All],{7,14,18,20,22},0)</f>
        <v>-1</v>
      </c>
      <c r="C24" s="12">
        <v>-1</v>
      </c>
      <c r="D24" s="12">
        <v>-1</v>
      </c>
      <c r="E24" s="12">
        <v>-1</v>
      </c>
      <c r="F24" s="8">
        <v>-1</v>
      </c>
    </row>
    <row r="25" spans="1:6" ht="14.5" x14ac:dyDescent="0.35">
      <c r="A25" s="7" t="s">
        <v>34</v>
      </c>
      <c r="B25" s="12" cm="1">
        <f t="array" ref="B25:F25">VLOOKUP(A25,Dataset[#All],{7,14,18,20,22},0)</f>
        <v>43.3</v>
      </c>
      <c r="C25" s="12">
        <v>128.6</v>
      </c>
      <c r="D25" s="12">
        <v>79.400000000000006</v>
      </c>
      <c r="E25" s="12">
        <v>160.9</v>
      </c>
      <c r="F25" s="8">
        <v>79.400000000000006</v>
      </c>
    </row>
    <row r="26" spans="1:6" ht="14.5" x14ac:dyDescent="0.35">
      <c r="A26" s="7" t="s">
        <v>37</v>
      </c>
      <c r="B26" s="12" cm="1">
        <f t="array" ref="B26:F26">VLOOKUP(A26,Dataset[#All],{7,14,18,20,22},0)</f>
        <v>49.1</v>
      </c>
      <c r="C26" s="12">
        <v>146.80000000000001</v>
      </c>
      <c r="D26" s="12">
        <v>90.9</v>
      </c>
      <c r="E26" s="12">
        <v>183.5</v>
      </c>
      <c r="F26" s="8">
        <v>90.9</v>
      </c>
    </row>
    <row r="27" spans="1:6" ht="14.5" x14ac:dyDescent="0.35">
      <c r="A27" s="7" t="s">
        <v>39</v>
      </c>
      <c r="B27" s="12" cm="1">
        <f t="array" ref="B27:F27">VLOOKUP(A27,Dataset[#All],{7,14,18,20,22},0)</f>
        <v>51.8</v>
      </c>
      <c r="C27" s="12">
        <v>156.4</v>
      </c>
      <c r="D27" s="12">
        <v>93.1</v>
      </c>
      <c r="E27" s="12">
        <v>188.1</v>
      </c>
      <c r="F27" s="8">
        <v>93.1</v>
      </c>
    </row>
    <row r="28" spans="1:6" ht="14.5" x14ac:dyDescent="0.35">
      <c r="A28" s="18" t="s">
        <v>82</v>
      </c>
      <c r="B28" s="30">
        <f>MIN(B6:B27)</f>
        <v>-1</v>
      </c>
      <c r="C28" s="30">
        <f t="shared" ref="C28:F28" si="0">MIN(C6:C27)</f>
        <v>-1</v>
      </c>
      <c r="D28" s="30">
        <f t="shared" si="0"/>
        <v>-1</v>
      </c>
      <c r="E28" s="30">
        <f t="shared" si="0"/>
        <v>-1</v>
      </c>
      <c r="F28" s="30">
        <f t="shared" si="0"/>
        <v>-1</v>
      </c>
    </row>
    <row r="29" spans="1:6" ht="14.5" x14ac:dyDescent="0.35">
      <c r="A29" s="18" t="s">
        <v>83</v>
      </c>
      <c r="B29" s="30">
        <f>MAX(B6:B27)</f>
        <v>51.8</v>
      </c>
      <c r="C29" s="30">
        <f t="shared" ref="C29:F29" si="1">MAX(C6:C27)</f>
        <v>156.4</v>
      </c>
      <c r="D29" s="30">
        <f t="shared" si="1"/>
        <v>93.1</v>
      </c>
      <c r="E29" s="30">
        <f t="shared" si="1"/>
        <v>188.1</v>
      </c>
      <c r="F29" s="30">
        <f t="shared" si="1"/>
        <v>93.1</v>
      </c>
    </row>
    <row r="30" spans="1:6" ht="14.5" x14ac:dyDescent="0.35">
      <c r="A30" s="18" t="s">
        <v>84</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71" zoomScaleNormal="71" workbookViewId="0">
      <selection activeCell="J37" sqref="J37"/>
    </sheetView>
  </sheetViews>
  <sheetFormatPr defaultColWidth="11" defaultRowHeight="14.5" x14ac:dyDescent="0.35"/>
  <cols>
    <col min="1" max="1" width="39.796875" style="1" bestFit="1" customWidth="1"/>
    <col min="2" max="16384" width="11" style="1"/>
  </cols>
  <sheetData>
    <row r="1" spans="1:10" s="40" customFormat="1" ht="21" x14ac:dyDescent="0.5">
      <c r="A1" s="41" t="s">
        <v>56</v>
      </c>
      <c r="B1" s="40" t="s">
        <v>173</v>
      </c>
    </row>
    <row r="2" spans="1:10" customFormat="1" ht="13" x14ac:dyDescent="0.3"/>
    <row r="3" spans="1:10" s="2" customFormat="1" x14ac:dyDescent="0.35">
      <c r="B3" s="1"/>
    </row>
    <row r="4" spans="1:10" s="2" customFormat="1" x14ac:dyDescent="0.35">
      <c r="B4" s="1" t="s">
        <v>150</v>
      </c>
    </row>
    <row r="5" spans="1:10" ht="18.5" x14ac:dyDescent="0.45">
      <c r="A5" s="42" t="s">
        <v>53</v>
      </c>
      <c r="B5" s="39"/>
    </row>
    <row r="6" spans="1:10" ht="18.5" x14ac:dyDescent="0.45">
      <c r="A6" s="42" t="s">
        <v>152</v>
      </c>
      <c r="B6" s="39"/>
    </row>
    <row r="7" spans="1:10" ht="18.5" x14ac:dyDescent="0.45">
      <c r="A7" s="42"/>
      <c r="B7" s="39"/>
    </row>
    <row r="9" spans="1:10" ht="23.5" x14ac:dyDescent="0.55000000000000004">
      <c r="A9" s="17" t="s">
        <v>164</v>
      </c>
      <c r="I9" s="2"/>
      <c r="J9" s="2"/>
    </row>
    <row r="10" spans="1:10" x14ac:dyDescent="0.35">
      <c r="A10" s="32" t="s">
        <v>102</v>
      </c>
      <c r="B10" s="16" t="s">
        <v>49</v>
      </c>
      <c r="C10" s="16" t="s">
        <v>50</v>
      </c>
      <c r="D10" s="16" t="s">
        <v>51</v>
      </c>
      <c r="E10" s="16" t="s">
        <v>52</v>
      </c>
      <c r="F10" s="16" t="s">
        <v>54</v>
      </c>
      <c r="I10" s="2"/>
      <c r="J10" s="2"/>
    </row>
    <row r="11" spans="1:10" x14ac:dyDescent="0.35">
      <c r="A11" s="9" t="s">
        <v>120</v>
      </c>
      <c r="B11" s="13">
        <v>20000</v>
      </c>
      <c r="C11" s="13" t="s">
        <v>5</v>
      </c>
      <c r="D11" s="13">
        <v>0</v>
      </c>
      <c r="E11" s="11" t="s">
        <v>6</v>
      </c>
      <c r="F11" s="11">
        <v>24</v>
      </c>
      <c r="I11" s="2"/>
      <c r="J11" s="2"/>
    </row>
    <row r="14" spans="1:10" ht="23.5" x14ac:dyDescent="0.55000000000000004">
      <c r="A14" s="17" t="s">
        <v>161</v>
      </c>
    </row>
    <row r="15" spans="1:10" x14ac:dyDescent="0.35">
      <c r="A15" s="14" t="s">
        <v>103</v>
      </c>
      <c r="B15" s="16" t="s">
        <v>49</v>
      </c>
      <c r="C15" s="15" t="s">
        <v>50</v>
      </c>
      <c r="D15" s="16" t="s">
        <v>51</v>
      </c>
      <c r="E15" s="15" t="s">
        <v>52</v>
      </c>
      <c r="F15" s="16" t="s">
        <v>54</v>
      </c>
    </row>
    <row r="16" spans="1:10" x14ac:dyDescent="0.35">
      <c r="A16" s="7" t="s">
        <v>120</v>
      </c>
      <c r="B16" s="12">
        <v>20000</v>
      </c>
      <c r="C16" s="1" t="s">
        <v>5</v>
      </c>
      <c r="D16" s="12">
        <v>0</v>
      </c>
      <c r="E16" s="1" t="s">
        <v>6</v>
      </c>
      <c r="F16" s="12">
        <v>24</v>
      </c>
    </row>
    <row r="17" spans="1:6" x14ac:dyDescent="0.35">
      <c r="A17" s="7" t="s">
        <v>121</v>
      </c>
      <c r="B17" s="12">
        <v>20002</v>
      </c>
      <c r="C17" s="1" t="s">
        <v>5</v>
      </c>
      <c r="D17" s="12">
        <v>0</v>
      </c>
      <c r="E17" s="1" t="s">
        <v>6</v>
      </c>
      <c r="F17" s="12">
        <v>24</v>
      </c>
    </row>
    <row r="18" spans="1:6" x14ac:dyDescent="0.35">
      <c r="A18" s="7" t="s">
        <v>122</v>
      </c>
      <c r="B18" s="12">
        <v>20004</v>
      </c>
      <c r="C18" s="1" t="s">
        <v>5</v>
      </c>
      <c r="D18" s="12">
        <v>0</v>
      </c>
      <c r="E18" s="1" t="s">
        <v>6</v>
      </c>
      <c r="F18" s="12">
        <v>24</v>
      </c>
    </row>
    <row r="19" spans="1:6" x14ac:dyDescent="0.35">
      <c r="A19" s="7" t="s">
        <v>123</v>
      </c>
      <c r="B19" s="12">
        <v>20006</v>
      </c>
      <c r="C19" s="1" t="s">
        <v>5</v>
      </c>
      <c r="D19" s="12">
        <v>0</v>
      </c>
      <c r="E19" s="1" t="s">
        <v>6</v>
      </c>
      <c r="F19" s="12">
        <v>24</v>
      </c>
    </row>
    <row r="20" spans="1:6" x14ac:dyDescent="0.35">
      <c r="A20" s="7" t="s">
        <v>124</v>
      </c>
      <c r="B20" s="12">
        <v>20008</v>
      </c>
      <c r="C20" s="1" t="s">
        <v>5</v>
      </c>
      <c r="D20" s="12">
        <v>0</v>
      </c>
      <c r="E20" s="1" t="s">
        <v>6</v>
      </c>
      <c r="F20" s="12">
        <v>24</v>
      </c>
    </row>
    <row r="21" spans="1:6" x14ac:dyDescent="0.35">
      <c r="A21" s="7" t="s">
        <v>125</v>
      </c>
      <c r="B21" s="12">
        <v>20010</v>
      </c>
      <c r="C21" s="1" t="s">
        <v>5</v>
      </c>
      <c r="D21" s="12">
        <v>0</v>
      </c>
      <c r="E21" s="1" t="s">
        <v>6</v>
      </c>
      <c r="F21" s="12">
        <v>24</v>
      </c>
    </row>
    <row r="22" spans="1:6" x14ac:dyDescent="0.35">
      <c r="A22" s="7" t="s">
        <v>126</v>
      </c>
      <c r="B22" s="12">
        <v>20012</v>
      </c>
      <c r="C22" s="1" t="s">
        <v>5</v>
      </c>
      <c r="D22" s="12">
        <v>0</v>
      </c>
      <c r="E22" s="1" t="s">
        <v>6</v>
      </c>
      <c r="F22" s="12">
        <v>24</v>
      </c>
    </row>
    <row r="23" spans="1:6" x14ac:dyDescent="0.35">
      <c r="A23" s="7" t="s">
        <v>127</v>
      </c>
      <c r="B23" s="12">
        <v>20014</v>
      </c>
      <c r="C23" s="1" t="s">
        <v>5</v>
      </c>
      <c r="D23" s="12">
        <v>0</v>
      </c>
      <c r="E23" s="1" t="s">
        <v>6</v>
      </c>
      <c r="F23" s="12">
        <v>24</v>
      </c>
    </row>
    <row r="24" spans="1:6" x14ac:dyDescent="0.35">
      <c r="A24" s="7" t="s">
        <v>128</v>
      </c>
      <c r="B24" s="12">
        <v>20016</v>
      </c>
      <c r="C24" s="1" t="s">
        <v>5</v>
      </c>
      <c r="D24" s="12">
        <v>0</v>
      </c>
      <c r="E24" s="1" t="s">
        <v>6</v>
      </c>
      <c r="F24" s="12">
        <v>24</v>
      </c>
    </row>
    <row r="25" spans="1:6" x14ac:dyDescent="0.35">
      <c r="A25" s="7" t="s">
        <v>129</v>
      </c>
      <c r="B25" s="12">
        <v>20018</v>
      </c>
      <c r="C25" s="1" t="s">
        <v>5</v>
      </c>
      <c r="D25" s="12">
        <v>0</v>
      </c>
      <c r="E25" s="1" t="s">
        <v>6</v>
      </c>
      <c r="F25" s="12">
        <v>24</v>
      </c>
    </row>
    <row r="26" spans="1:6" x14ac:dyDescent="0.35">
      <c r="A26" s="7" t="s">
        <v>130</v>
      </c>
      <c r="B26" s="12">
        <v>20020</v>
      </c>
      <c r="C26" s="1" t="s">
        <v>5</v>
      </c>
      <c r="D26" s="12">
        <v>0</v>
      </c>
      <c r="E26" s="1" t="s">
        <v>6</v>
      </c>
      <c r="F26" s="12">
        <v>24</v>
      </c>
    </row>
    <row r="27" spans="1:6" x14ac:dyDescent="0.35">
      <c r="A27" s="7" t="s">
        <v>131</v>
      </c>
      <c r="B27" s="12">
        <v>20022</v>
      </c>
      <c r="C27" s="1" t="s">
        <v>5</v>
      </c>
      <c r="D27" s="12">
        <v>0</v>
      </c>
      <c r="E27" s="1" t="s">
        <v>6</v>
      </c>
      <c r="F27" s="12">
        <v>24</v>
      </c>
    </row>
    <row r="28" spans="1:6" x14ac:dyDescent="0.35">
      <c r="A28" s="7" t="s">
        <v>132</v>
      </c>
      <c r="B28" s="12">
        <v>20024</v>
      </c>
      <c r="C28" s="1" t="s">
        <v>5</v>
      </c>
      <c r="D28" s="12">
        <v>0</v>
      </c>
      <c r="E28" s="1" t="s">
        <v>6</v>
      </c>
      <c r="F28" s="12">
        <v>24</v>
      </c>
    </row>
    <row r="29" spans="1:6" x14ac:dyDescent="0.35">
      <c r="A29" s="7" t="s">
        <v>133</v>
      </c>
      <c r="B29" s="12">
        <v>20026</v>
      </c>
      <c r="C29" s="1" t="s">
        <v>5</v>
      </c>
      <c r="D29" s="12">
        <v>0</v>
      </c>
      <c r="E29" s="1" t="s">
        <v>6</v>
      </c>
      <c r="F29" s="12">
        <v>24</v>
      </c>
    </row>
    <row r="30" spans="1:6" x14ac:dyDescent="0.35">
      <c r="A30" s="7" t="s">
        <v>134</v>
      </c>
      <c r="B30" s="12">
        <v>20028</v>
      </c>
      <c r="C30" s="1" t="s">
        <v>5</v>
      </c>
      <c r="D30" s="12">
        <v>0</v>
      </c>
      <c r="E30" s="1" t="s">
        <v>6</v>
      </c>
      <c r="F30" s="12">
        <v>24</v>
      </c>
    </row>
    <row r="31" spans="1:6" x14ac:dyDescent="0.35">
      <c r="A31" s="7" t="s">
        <v>135</v>
      </c>
      <c r="B31" s="12">
        <v>20030</v>
      </c>
      <c r="C31" s="1" t="s">
        <v>5</v>
      </c>
      <c r="D31" s="12">
        <v>0</v>
      </c>
      <c r="E31" s="1" t="s">
        <v>6</v>
      </c>
      <c r="F31" s="12">
        <v>24</v>
      </c>
    </row>
    <row r="32" spans="1:6" x14ac:dyDescent="0.35">
      <c r="A32" s="7" t="s">
        <v>136</v>
      </c>
      <c r="B32" s="12">
        <v>20032</v>
      </c>
      <c r="C32" s="1" t="s">
        <v>5</v>
      </c>
      <c r="D32" s="12">
        <v>0</v>
      </c>
      <c r="E32" s="1" t="s">
        <v>6</v>
      </c>
      <c r="F32" s="12">
        <v>24</v>
      </c>
    </row>
    <row r="33" spans="1:6" x14ac:dyDescent="0.35">
      <c r="A33" s="7" t="s">
        <v>137</v>
      </c>
      <c r="B33" s="12">
        <v>20034</v>
      </c>
      <c r="C33" s="1" t="s">
        <v>5</v>
      </c>
      <c r="D33" s="12">
        <v>0</v>
      </c>
      <c r="E33" s="1" t="s">
        <v>6</v>
      </c>
      <c r="F33" s="12">
        <v>24</v>
      </c>
    </row>
    <row r="34" spans="1:6" x14ac:dyDescent="0.35">
      <c r="A34" s="7" t="s">
        <v>138</v>
      </c>
      <c r="B34" s="12">
        <v>20036</v>
      </c>
      <c r="C34" s="1" t="s">
        <v>5</v>
      </c>
      <c r="D34" s="12">
        <v>0</v>
      </c>
      <c r="E34" s="1" t="s">
        <v>6</v>
      </c>
      <c r="F34" s="12">
        <v>24</v>
      </c>
    </row>
    <row r="35" spans="1:6" x14ac:dyDescent="0.35">
      <c r="A35" s="7" t="s">
        <v>139</v>
      </c>
      <c r="B35" s="12">
        <v>20038</v>
      </c>
      <c r="C35" s="1" t="s">
        <v>5</v>
      </c>
      <c r="D35" s="12">
        <v>0</v>
      </c>
      <c r="E35" s="1" t="s">
        <v>6</v>
      </c>
      <c r="F35" s="12">
        <v>24</v>
      </c>
    </row>
    <row r="36" spans="1:6" x14ac:dyDescent="0.35">
      <c r="A36" s="7" t="s">
        <v>140</v>
      </c>
      <c r="B36" s="12">
        <v>20040</v>
      </c>
      <c r="C36" s="1" t="s">
        <v>5</v>
      </c>
      <c r="D36" s="12">
        <v>0</v>
      </c>
      <c r="E36" s="1" t="s">
        <v>6</v>
      </c>
      <c r="F36" s="12">
        <v>24</v>
      </c>
    </row>
    <row r="37" spans="1:6" x14ac:dyDescent="0.35">
      <c r="A37" s="7" t="s">
        <v>141</v>
      </c>
      <c r="B37" s="12">
        <v>20042</v>
      </c>
      <c r="C37" s="1" t="s">
        <v>5</v>
      </c>
      <c r="D37" s="12">
        <v>0</v>
      </c>
      <c r="E37" s="1" t="s">
        <v>6</v>
      </c>
      <c r="F37" s="12">
        <v>24</v>
      </c>
    </row>
    <row r="38" spans="1:6" x14ac:dyDescent="0.35">
      <c r="A38" s="7" t="s">
        <v>142</v>
      </c>
      <c r="B38" s="12">
        <v>20044</v>
      </c>
      <c r="C38" s="1" t="s">
        <v>5</v>
      </c>
      <c r="D38" s="12">
        <v>0</v>
      </c>
      <c r="E38" s="1" t="s">
        <v>6</v>
      </c>
      <c r="F38" s="12">
        <v>24</v>
      </c>
    </row>
    <row r="39" spans="1:6" x14ac:dyDescent="0.35">
      <c r="A39" s="7" t="s">
        <v>143</v>
      </c>
      <c r="B39" s="12">
        <v>20046</v>
      </c>
      <c r="C39" s="1" t="s">
        <v>5</v>
      </c>
      <c r="D39" s="12">
        <v>0</v>
      </c>
      <c r="E39" s="1" t="s">
        <v>6</v>
      </c>
      <c r="F39" s="12">
        <v>24</v>
      </c>
    </row>
    <row r="40" spans="1:6" x14ac:dyDescent="0.35">
      <c r="A40" s="7" t="s">
        <v>144</v>
      </c>
      <c r="B40" s="12">
        <v>20048</v>
      </c>
      <c r="C40" s="1" t="s">
        <v>5</v>
      </c>
      <c r="D40" s="12">
        <v>0</v>
      </c>
      <c r="E40" s="1" t="s">
        <v>6</v>
      </c>
      <c r="F40" s="12">
        <v>24</v>
      </c>
    </row>
    <row r="41" spans="1:6" x14ac:dyDescent="0.35">
      <c r="A41" s="7" t="s">
        <v>145</v>
      </c>
      <c r="B41" s="12">
        <v>20050</v>
      </c>
      <c r="C41" s="1" t="s">
        <v>5</v>
      </c>
      <c r="D41" s="12">
        <v>0</v>
      </c>
      <c r="E41" s="1" t="s">
        <v>6</v>
      </c>
      <c r="F41" s="12">
        <v>24</v>
      </c>
    </row>
    <row r="42" spans="1:6" x14ac:dyDescent="0.35">
      <c r="A42" s="7" t="s">
        <v>146</v>
      </c>
      <c r="B42" s="12">
        <v>20052</v>
      </c>
      <c r="C42" s="1" t="s">
        <v>5</v>
      </c>
      <c r="D42" s="12">
        <v>0</v>
      </c>
      <c r="E42" s="1" t="s">
        <v>6</v>
      </c>
      <c r="F42" s="12">
        <v>24</v>
      </c>
    </row>
    <row r="43" spans="1:6" x14ac:dyDescent="0.35">
      <c r="A43" s="7" t="s">
        <v>147</v>
      </c>
      <c r="B43" s="12">
        <v>20054</v>
      </c>
      <c r="C43" s="1" t="s">
        <v>5</v>
      </c>
      <c r="D43" s="12">
        <v>0</v>
      </c>
      <c r="E43" s="1" t="s">
        <v>6</v>
      </c>
      <c r="F43" s="12">
        <v>24</v>
      </c>
    </row>
    <row r="44" spans="1:6" x14ac:dyDescent="0.35">
      <c r="A44" s="7" t="s">
        <v>148</v>
      </c>
      <c r="B44" s="12">
        <v>20058</v>
      </c>
      <c r="C44" s="1" t="s">
        <v>5</v>
      </c>
      <c r="D44" s="12">
        <v>0</v>
      </c>
      <c r="E44" s="1" t="s">
        <v>6</v>
      </c>
      <c r="F44" s="12">
        <v>24</v>
      </c>
    </row>
    <row r="45" spans="1:6" x14ac:dyDescent="0.35">
      <c r="A45" s="7" t="s">
        <v>149</v>
      </c>
      <c r="B45" s="12">
        <v>20060</v>
      </c>
      <c r="C45" s="1" t="s">
        <v>5</v>
      </c>
      <c r="D45" s="12">
        <v>0</v>
      </c>
      <c r="E45" s="1" t="s">
        <v>6</v>
      </c>
      <c r="F45" s="12">
        <v>24</v>
      </c>
    </row>
    <row r="46" spans="1:6" x14ac:dyDescent="0.35">
      <c r="A46" s="7" t="s">
        <v>111</v>
      </c>
      <c r="B46" s="12">
        <v>21000</v>
      </c>
      <c r="C46" s="1" t="s">
        <v>5</v>
      </c>
      <c r="D46" s="12">
        <v>0</v>
      </c>
      <c r="E46" s="1" t="s">
        <v>6</v>
      </c>
      <c r="F46" s="12">
        <v>24</v>
      </c>
    </row>
    <row r="47" spans="1:6" x14ac:dyDescent="0.35">
      <c r="A47" s="7" t="s">
        <v>112</v>
      </c>
      <c r="B47" s="12">
        <v>21002</v>
      </c>
      <c r="C47" s="1" t="s">
        <v>5</v>
      </c>
      <c r="D47" s="12">
        <v>0</v>
      </c>
      <c r="E47" s="1" t="s">
        <v>6</v>
      </c>
      <c r="F47" s="12">
        <v>24</v>
      </c>
    </row>
    <row r="48" spans="1:6" x14ac:dyDescent="0.35">
      <c r="A48" s="7" t="s">
        <v>113</v>
      </c>
      <c r="B48" s="12">
        <v>21004</v>
      </c>
      <c r="C48" s="1" t="s">
        <v>5</v>
      </c>
      <c r="D48" s="12">
        <v>0</v>
      </c>
      <c r="E48" s="1" t="s">
        <v>6</v>
      </c>
      <c r="F48" s="12">
        <v>24</v>
      </c>
    </row>
    <row r="49" spans="1:6" x14ac:dyDescent="0.35">
      <c r="A49" s="7" t="s">
        <v>114</v>
      </c>
      <c r="B49" s="12">
        <v>21006</v>
      </c>
      <c r="C49" s="1" t="s">
        <v>5</v>
      </c>
      <c r="D49" s="12">
        <v>0</v>
      </c>
      <c r="E49" s="1" t="s">
        <v>6</v>
      </c>
      <c r="F49" s="12">
        <v>24</v>
      </c>
    </row>
    <row r="50" spans="1:6" x14ac:dyDescent="0.35">
      <c r="A50" s="7" t="s">
        <v>115</v>
      </c>
      <c r="B50" s="12">
        <v>21008</v>
      </c>
      <c r="C50" s="1" t="s">
        <v>5</v>
      </c>
      <c r="D50" s="12">
        <v>0</v>
      </c>
      <c r="E50" s="1" t="s">
        <v>6</v>
      </c>
      <c r="F50" s="12">
        <v>24</v>
      </c>
    </row>
    <row r="51" spans="1:6" x14ac:dyDescent="0.35">
      <c r="A51" s="7" t="s">
        <v>116</v>
      </c>
      <c r="B51" s="12">
        <v>21010</v>
      </c>
      <c r="C51" s="1" t="s">
        <v>5</v>
      </c>
      <c r="D51" s="12">
        <v>0</v>
      </c>
      <c r="E51" s="1" t="s">
        <v>6</v>
      </c>
      <c r="F51" s="12">
        <v>24</v>
      </c>
    </row>
    <row r="52" spans="1:6" x14ac:dyDescent="0.35">
      <c r="A52" s="7" t="s">
        <v>117</v>
      </c>
      <c r="B52" s="12">
        <v>21012</v>
      </c>
      <c r="C52" s="1" t="s">
        <v>5</v>
      </c>
      <c r="D52" s="12">
        <v>0</v>
      </c>
      <c r="E52" s="1" t="s">
        <v>6</v>
      </c>
      <c r="F52" s="12">
        <v>24</v>
      </c>
    </row>
    <row r="53" spans="1:6" x14ac:dyDescent="0.35">
      <c r="A53" s="7" t="s">
        <v>118</v>
      </c>
      <c r="B53" s="12">
        <v>21014</v>
      </c>
      <c r="C53" s="1" t="s">
        <v>5</v>
      </c>
      <c r="D53" s="12">
        <v>0</v>
      </c>
      <c r="E53" s="1" t="s">
        <v>6</v>
      </c>
      <c r="F53" s="12">
        <v>24</v>
      </c>
    </row>
    <row r="54" spans="1:6" x14ac:dyDescent="0.35">
      <c r="A54" s="9" t="s">
        <v>119</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AC22"/>
  <sheetViews>
    <sheetView zoomScaleNormal="100" workbookViewId="0">
      <selection activeCell="H15" sqref="H15"/>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29" ht="21" x14ac:dyDescent="0.5">
      <c r="A1" s="41" t="s">
        <v>85</v>
      </c>
      <c r="B1" s="40" t="s">
        <v>166</v>
      </c>
    </row>
    <row r="2" spans="1:29" ht="18.5" x14ac:dyDescent="0.45">
      <c r="B2" s="39" t="s">
        <v>165</v>
      </c>
    </row>
    <row r="5" spans="1:29" ht="14.5" x14ac:dyDescent="0.35">
      <c r="B5" s="1" t="s">
        <v>150</v>
      </c>
    </row>
    <row r="6" spans="1:29" ht="14.5" x14ac:dyDescent="0.35">
      <c r="A6" s="3" t="s">
        <v>53</v>
      </c>
      <c r="B6" s="1" t="s">
        <v>178</v>
      </c>
    </row>
    <row r="7" spans="1:29" ht="14.5" customHeight="1" x14ac:dyDescent="0.35">
      <c r="A7" s="3" t="s">
        <v>152</v>
      </c>
      <c r="B7" s="48" t="s">
        <v>179</v>
      </c>
      <c r="C7" s="47"/>
      <c r="D7" s="47"/>
      <c r="E7" s="47"/>
      <c r="F7" s="47"/>
      <c r="G7" s="47"/>
      <c r="H7" s="47"/>
      <c r="I7" s="47"/>
      <c r="J7" s="47"/>
      <c r="K7" s="47"/>
      <c r="L7" s="47"/>
      <c r="M7" s="47"/>
      <c r="N7" s="47"/>
      <c r="O7" s="47"/>
      <c r="P7" s="47"/>
      <c r="Q7" s="47"/>
      <c r="R7" s="47"/>
      <c r="S7" s="47"/>
      <c r="T7" s="47"/>
      <c r="U7" s="47"/>
      <c r="V7" s="47"/>
      <c r="W7" s="47"/>
      <c r="X7" s="47"/>
      <c r="Y7" s="47"/>
      <c r="Z7" s="47"/>
      <c r="AA7" s="47"/>
      <c r="AB7" s="47"/>
      <c r="AC7" s="47"/>
    </row>
    <row r="10" spans="1:29" ht="23.5" x14ac:dyDescent="0.55000000000000004">
      <c r="A10" s="17" t="s">
        <v>161</v>
      </c>
    </row>
    <row r="11" spans="1:29" ht="14.5" x14ac:dyDescent="0.35">
      <c r="A11" s="31" t="s">
        <v>86</v>
      </c>
      <c r="B11" s="16" t="s">
        <v>87</v>
      </c>
      <c r="C11" s="16" t="s">
        <v>88</v>
      </c>
      <c r="D11" s="24" t="s">
        <v>177</v>
      </c>
    </row>
    <row r="12" spans="1:29" ht="14.5" x14ac:dyDescent="0.35">
      <c r="A12" s="31">
        <v>44927</v>
      </c>
      <c r="B12" s="16" t="s">
        <v>59</v>
      </c>
      <c r="C12" s="16">
        <v>200</v>
      </c>
      <c r="D12" s="24" cm="1">
        <f t="array" ref="D12:D21">IFERROR($C$12:$C$21,20)</f>
        <v>200</v>
      </c>
    </row>
    <row r="13" spans="1:29" ht="14.5" x14ac:dyDescent="0.35">
      <c r="A13" s="31">
        <v>44928</v>
      </c>
      <c r="B13" s="16" t="s">
        <v>60</v>
      </c>
      <c r="C13" s="16" t="e">
        <v>#N/A</v>
      </c>
      <c r="D13" s="24">
        <v>20</v>
      </c>
    </row>
    <row r="14" spans="1:29" ht="14.5" x14ac:dyDescent="0.35">
      <c r="A14" s="31">
        <v>44929</v>
      </c>
      <c r="B14" s="16" t="s">
        <v>61</v>
      </c>
      <c r="C14" s="16">
        <v>50</v>
      </c>
      <c r="D14" s="24">
        <v>50</v>
      </c>
    </row>
    <row r="15" spans="1:29" ht="14.5" x14ac:dyDescent="0.35">
      <c r="A15" s="31">
        <v>44930</v>
      </c>
      <c r="B15" s="16" t="s">
        <v>62</v>
      </c>
      <c r="C15" s="16" t="e">
        <v>#N/A</v>
      </c>
      <c r="D15" s="24">
        <v>20</v>
      </c>
    </row>
    <row r="16" spans="1:29" ht="14.5" x14ac:dyDescent="0.35">
      <c r="A16" s="31">
        <v>44931</v>
      </c>
      <c r="B16" s="16" t="s">
        <v>63</v>
      </c>
      <c r="C16" s="16">
        <v>10</v>
      </c>
      <c r="D16" s="24">
        <v>10</v>
      </c>
    </row>
    <row r="17" spans="1:4" ht="14.5" x14ac:dyDescent="0.35">
      <c r="A17" s="31">
        <v>44932</v>
      </c>
      <c r="B17" s="16" t="s">
        <v>153</v>
      </c>
      <c r="C17" s="16">
        <v>150</v>
      </c>
      <c r="D17" s="24">
        <v>150</v>
      </c>
    </row>
    <row r="18" spans="1:4" ht="14.5" x14ac:dyDescent="0.35">
      <c r="A18" s="31">
        <v>44933</v>
      </c>
      <c r="B18" s="16" t="s">
        <v>154</v>
      </c>
      <c r="C18" s="16">
        <v>80</v>
      </c>
      <c r="D18" s="24">
        <v>80</v>
      </c>
    </row>
    <row r="19" spans="1:4" ht="14.5" x14ac:dyDescent="0.35">
      <c r="A19" s="31">
        <v>44934</v>
      </c>
      <c r="B19" s="16" t="s">
        <v>155</v>
      </c>
      <c r="C19" s="16" t="e">
        <v>#N/A</v>
      </c>
      <c r="D19" s="24">
        <v>20</v>
      </c>
    </row>
    <row r="20" spans="1:4" ht="14.5" x14ac:dyDescent="0.35">
      <c r="A20" s="31">
        <v>44935</v>
      </c>
      <c r="B20" s="16" t="s">
        <v>156</v>
      </c>
      <c r="C20" s="16">
        <v>30</v>
      </c>
      <c r="D20" s="24">
        <v>30</v>
      </c>
    </row>
    <row r="21" spans="1:4" ht="14.5" x14ac:dyDescent="0.35">
      <c r="A21" s="31">
        <v>44936</v>
      </c>
      <c r="B21" s="16" t="s">
        <v>157</v>
      </c>
      <c r="C21" s="16" t="e">
        <v>#N/A</v>
      </c>
      <c r="D21" s="24">
        <v>20</v>
      </c>
    </row>
    <row r="22" spans="1:4" ht="21" x14ac:dyDescent="0.5">
      <c r="B22" s="16" t="s">
        <v>158</v>
      </c>
      <c r="C22" s="46" cm="1">
        <f t="array" ref="C22">SUM(IFERROR($C$12:$C$21,20))</f>
        <v>600</v>
      </c>
      <c r="D22" s="24">
        <f>SUM(_xlfn.ANCHORARRAY(D12))</f>
        <v>600</v>
      </c>
    </row>
  </sheetData>
  <mergeCells count="1">
    <mergeCell ref="B7:AC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R35"/>
  <sheetViews>
    <sheetView tabSelected="1" zoomScale="88" zoomScaleNormal="88" workbookViewId="0">
      <selection activeCell="G21" sqref="G21"/>
    </sheetView>
  </sheetViews>
  <sheetFormatPr defaultColWidth="11" defaultRowHeight="13" x14ac:dyDescent="0.3"/>
  <cols>
    <col min="1" max="1" width="28.19921875" style="2" bestFit="1" customWidth="1"/>
    <col min="2" max="16384" width="11" style="2"/>
  </cols>
  <sheetData>
    <row r="1" spans="1:18" ht="21" x14ac:dyDescent="0.5">
      <c r="A1" s="41" t="s">
        <v>98</v>
      </c>
      <c r="B1" s="40" t="s">
        <v>174</v>
      </c>
    </row>
    <row r="3" spans="1:18" ht="14.5" x14ac:dyDescent="0.35">
      <c r="B3" s="1" t="s">
        <v>150</v>
      </c>
    </row>
    <row r="4" spans="1:18" ht="18.5" x14ac:dyDescent="0.45">
      <c r="A4" s="42" t="s">
        <v>53</v>
      </c>
      <c r="B4" s="1"/>
      <c r="C4" s="2" t="s">
        <v>180</v>
      </c>
    </row>
    <row r="5" spans="1:18" ht="18.5" x14ac:dyDescent="0.45">
      <c r="A5" s="42" t="s">
        <v>152</v>
      </c>
      <c r="B5" s="49" t="s">
        <v>181</v>
      </c>
      <c r="C5" s="49"/>
      <c r="D5" s="49"/>
      <c r="E5" s="49"/>
      <c r="F5" s="49"/>
      <c r="G5" s="49"/>
      <c r="H5" s="49"/>
      <c r="I5" s="49"/>
      <c r="J5" s="49"/>
      <c r="K5" s="49"/>
      <c r="L5" s="49"/>
      <c r="M5" s="49"/>
      <c r="N5" s="49"/>
      <c r="O5" s="49"/>
      <c r="P5" s="49"/>
      <c r="Q5" s="49"/>
      <c r="R5" s="49"/>
    </row>
    <row r="6" spans="1:18" ht="14.5" x14ac:dyDescent="0.35">
      <c r="A6" s="3"/>
      <c r="B6" s="49"/>
      <c r="C6" s="49"/>
      <c r="D6" s="49"/>
      <c r="E6" s="49"/>
      <c r="F6" s="49"/>
      <c r="G6" s="49"/>
      <c r="H6" s="49"/>
      <c r="I6" s="49"/>
      <c r="J6" s="49"/>
      <c r="K6" s="49"/>
      <c r="L6" s="49"/>
      <c r="M6" s="49"/>
      <c r="N6" s="49"/>
      <c r="O6" s="49"/>
      <c r="P6" s="49"/>
      <c r="Q6" s="49"/>
      <c r="R6" s="49"/>
    </row>
    <row r="7" spans="1:18" x14ac:dyDescent="0.3">
      <c r="B7" s="49"/>
      <c r="C7" s="49"/>
      <c r="D7" s="49"/>
      <c r="E7" s="49"/>
      <c r="F7" s="49"/>
      <c r="G7" s="49"/>
      <c r="H7" s="49"/>
      <c r="I7" s="49"/>
      <c r="J7" s="49"/>
      <c r="K7" s="49"/>
      <c r="L7" s="49"/>
      <c r="M7" s="49"/>
      <c r="N7" s="49"/>
      <c r="O7" s="49"/>
      <c r="P7" s="49"/>
      <c r="Q7" s="49"/>
      <c r="R7" s="49"/>
    </row>
    <row r="8" spans="1:18" ht="23.5" x14ac:dyDescent="0.55000000000000004">
      <c r="A8" s="17" t="s">
        <v>161</v>
      </c>
      <c r="M8" s="17" t="s">
        <v>162</v>
      </c>
    </row>
    <row r="9" spans="1:18" ht="14.5" x14ac:dyDescent="0.35">
      <c r="A9" s="25"/>
      <c r="B9" s="25" t="s">
        <v>89</v>
      </c>
      <c r="C9" s="25" t="s">
        <v>90</v>
      </c>
      <c r="D9" s="25" t="s">
        <v>91</v>
      </c>
      <c r="E9" s="25" t="s">
        <v>92</v>
      </c>
      <c r="F9" s="25" t="s">
        <v>93</v>
      </c>
      <c r="G9" s="25" t="s">
        <v>94</v>
      </c>
      <c r="H9" s="25" t="s">
        <v>95</v>
      </c>
      <c r="I9" s="25" t="s">
        <v>96</v>
      </c>
      <c r="J9" s="25" t="s">
        <v>97</v>
      </c>
      <c r="M9" s="18" t="s">
        <v>43</v>
      </c>
      <c r="N9" s="18" t="s">
        <v>99</v>
      </c>
    </row>
    <row r="10" spans="1:18" ht="14.5" x14ac:dyDescent="0.35">
      <c r="A10" s="25" t="s">
        <v>89</v>
      </c>
      <c r="B10" s="24">
        <v>-1</v>
      </c>
      <c r="C10" s="24">
        <v>95</v>
      </c>
      <c r="D10" s="24">
        <v>-1</v>
      </c>
      <c r="E10" s="24">
        <v>185</v>
      </c>
      <c r="F10" s="24">
        <v>255</v>
      </c>
      <c r="G10" s="24">
        <v>305</v>
      </c>
      <c r="H10" s="24">
        <v>415</v>
      </c>
      <c r="I10" s="24">
        <v>480</v>
      </c>
      <c r="J10" s="24">
        <v>525</v>
      </c>
      <c r="M10" s="12">
        <v>10100</v>
      </c>
      <c r="N10" s="12" t="s">
        <v>89</v>
      </c>
    </row>
    <row r="11" spans="1:18" ht="14.5" x14ac:dyDescent="0.35">
      <c r="A11" s="25" t="s">
        <v>90</v>
      </c>
      <c r="B11" s="24">
        <v>95</v>
      </c>
      <c r="C11" s="24">
        <v>-1</v>
      </c>
      <c r="D11" s="24">
        <v>-1</v>
      </c>
      <c r="E11" s="24">
        <v>90</v>
      </c>
      <c r="F11" s="24">
        <v>160</v>
      </c>
      <c r="G11" s="24">
        <v>210</v>
      </c>
      <c r="H11" s="24">
        <v>325</v>
      </c>
      <c r="I11" s="24">
        <v>390</v>
      </c>
      <c r="J11" s="24">
        <v>430</v>
      </c>
      <c r="M11" s="12">
        <v>10102</v>
      </c>
      <c r="N11" s="12" t="s">
        <v>90</v>
      </c>
    </row>
    <row r="12" spans="1:18" ht="14.5" x14ac:dyDescent="0.35">
      <c r="A12" s="25" t="s">
        <v>91</v>
      </c>
      <c r="B12" s="24">
        <v>-1</v>
      </c>
      <c r="C12" s="24">
        <v>-1</v>
      </c>
      <c r="D12" s="24">
        <v>-1</v>
      </c>
      <c r="E12" s="24">
        <v>60</v>
      </c>
      <c r="F12" s="24">
        <v>130</v>
      </c>
      <c r="G12" s="24">
        <v>180</v>
      </c>
      <c r="H12" s="24">
        <v>295</v>
      </c>
      <c r="I12" s="24">
        <v>355</v>
      </c>
      <c r="J12" s="24">
        <v>400</v>
      </c>
      <c r="M12" s="12">
        <v>10104</v>
      </c>
      <c r="N12" s="12" t="s">
        <v>91</v>
      </c>
    </row>
    <row r="13" spans="1:18" ht="14.5" x14ac:dyDescent="0.35">
      <c r="A13" s="25" t="s">
        <v>92</v>
      </c>
      <c r="B13" s="24">
        <v>185</v>
      </c>
      <c r="C13" s="24">
        <v>90</v>
      </c>
      <c r="D13" s="24">
        <v>60</v>
      </c>
      <c r="E13" s="24">
        <v>-1</v>
      </c>
      <c r="F13" s="24">
        <v>70</v>
      </c>
      <c r="G13" s="24">
        <v>120</v>
      </c>
      <c r="H13" s="24">
        <v>235</v>
      </c>
      <c r="I13" s="24">
        <v>300</v>
      </c>
      <c r="J13" s="24">
        <v>340</v>
      </c>
      <c r="M13" s="12">
        <v>10106</v>
      </c>
      <c r="N13" s="12" t="s">
        <v>92</v>
      </c>
    </row>
    <row r="14" spans="1:18" ht="14.5" x14ac:dyDescent="0.35">
      <c r="A14" s="25" t="s">
        <v>93</v>
      </c>
      <c r="B14" s="24">
        <v>255</v>
      </c>
      <c r="C14" s="24">
        <v>160</v>
      </c>
      <c r="D14" s="24">
        <v>130</v>
      </c>
      <c r="E14" s="24">
        <v>70</v>
      </c>
      <c r="F14" s="24">
        <v>-1</v>
      </c>
      <c r="G14" s="24">
        <v>50</v>
      </c>
      <c r="H14" s="24">
        <v>165</v>
      </c>
      <c r="I14" s="24">
        <v>230</v>
      </c>
      <c r="J14" s="24">
        <v>270</v>
      </c>
      <c r="M14" s="12">
        <v>10108</v>
      </c>
      <c r="N14" s="12" t="s">
        <v>93</v>
      </c>
    </row>
    <row r="15" spans="1:18" ht="14.5" x14ac:dyDescent="0.35">
      <c r="A15" s="25" t="s">
        <v>94</v>
      </c>
      <c r="B15" s="24">
        <v>305</v>
      </c>
      <c r="C15" s="24">
        <v>210</v>
      </c>
      <c r="D15" s="24">
        <v>180</v>
      </c>
      <c r="E15" s="24">
        <v>120</v>
      </c>
      <c r="F15" s="24">
        <v>50</v>
      </c>
      <c r="G15" s="24">
        <v>-1</v>
      </c>
      <c r="H15" s="24">
        <v>115</v>
      </c>
      <c r="I15" s="24">
        <v>180</v>
      </c>
      <c r="J15" s="24">
        <v>220</v>
      </c>
      <c r="M15" s="12">
        <v>10110</v>
      </c>
      <c r="N15" s="12" t="s">
        <v>94</v>
      </c>
    </row>
    <row r="16" spans="1:18" ht="14.5" x14ac:dyDescent="0.35">
      <c r="A16" s="25" t="s">
        <v>95</v>
      </c>
      <c r="B16" s="24">
        <v>415</v>
      </c>
      <c r="C16" s="24">
        <v>325</v>
      </c>
      <c r="D16" s="24">
        <v>295</v>
      </c>
      <c r="E16" s="24">
        <v>235</v>
      </c>
      <c r="F16" s="24">
        <v>165</v>
      </c>
      <c r="G16" s="24">
        <v>115</v>
      </c>
      <c r="H16" s="24">
        <v>-1</v>
      </c>
      <c r="I16" s="24">
        <v>65</v>
      </c>
      <c r="J16" s="24">
        <v>105</v>
      </c>
      <c r="M16" s="12">
        <v>10112</v>
      </c>
      <c r="N16" s="12" t="s">
        <v>95</v>
      </c>
    </row>
    <row r="17" spans="1:14" ht="14.5" x14ac:dyDescent="0.35">
      <c r="A17" s="25" t="s">
        <v>96</v>
      </c>
      <c r="B17" s="24">
        <v>480</v>
      </c>
      <c r="C17" s="24">
        <v>390</v>
      </c>
      <c r="D17" s="24">
        <v>355</v>
      </c>
      <c r="E17" s="24">
        <v>300</v>
      </c>
      <c r="F17" s="24">
        <v>230</v>
      </c>
      <c r="G17" s="24">
        <v>180</v>
      </c>
      <c r="H17" s="24">
        <v>65</v>
      </c>
      <c r="I17" s="24">
        <v>-1</v>
      </c>
      <c r="J17" s="24">
        <v>40</v>
      </c>
      <c r="M17" s="12">
        <v>10114</v>
      </c>
      <c r="N17" s="12" t="s">
        <v>96</v>
      </c>
    </row>
    <row r="18" spans="1:14" ht="14.5" x14ac:dyDescent="0.35">
      <c r="A18" s="25" t="s">
        <v>97</v>
      </c>
      <c r="B18" s="24">
        <v>525</v>
      </c>
      <c r="C18" s="24">
        <v>430</v>
      </c>
      <c r="D18" s="24">
        <v>400</v>
      </c>
      <c r="E18" s="24">
        <v>340</v>
      </c>
      <c r="F18" s="24">
        <v>270</v>
      </c>
      <c r="G18" s="24">
        <v>220</v>
      </c>
      <c r="H18" s="24">
        <v>105</v>
      </c>
      <c r="I18" s="24">
        <v>40</v>
      </c>
      <c r="J18" s="24">
        <v>-1</v>
      </c>
      <c r="M18" s="13">
        <v>10116</v>
      </c>
      <c r="N18" s="13" t="s">
        <v>97</v>
      </c>
    </row>
    <row r="21" spans="1:14" ht="23.5" x14ac:dyDescent="0.55000000000000004">
      <c r="A21" s="17" t="s">
        <v>167</v>
      </c>
    </row>
    <row r="22" spans="1:14" ht="14.5" x14ac:dyDescent="0.35">
      <c r="A22" s="16" t="s">
        <v>100</v>
      </c>
      <c r="B22" s="16" t="s">
        <v>101</v>
      </c>
      <c r="C22" s="16" t="s">
        <v>102</v>
      </c>
    </row>
    <row r="23" spans="1:14" ht="14.5" x14ac:dyDescent="0.35">
      <c r="A23" s="16">
        <v>10100</v>
      </c>
      <c r="B23" s="16">
        <v>10102</v>
      </c>
      <c r="C23" s="24">
        <f>INDEX($A$9:$J$18,MATCH(VLOOKUP(A23,$M$10:$N$18,2,FALSE),$A$9:$A$18,0),MATCH(VLOOKUP(B23,$M$10:$N$18,2,FALSE),$A$9:$J$9,0))</f>
        <v>95</v>
      </c>
    </row>
    <row r="24" spans="1:14" ht="14.5" x14ac:dyDescent="0.35">
      <c r="A24" s="16">
        <v>10100</v>
      </c>
      <c r="B24" s="16">
        <v>10104</v>
      </c>
      <c r="C24" s="24">
        <f t="shared" ref="C24:C35" si="0">INDEX($A$9:$J$18,MATCH(VLOOKUP(A24,$M$10:$N$18,2,FALSE),$A$9:$A$18,0),MATCH(VLOOKUP(B24,$M$10:$N$18,2,FALSE),$A$9:$J$9,0))</f>
        <v>-1</v>
      </c>
    </row>
    <row r="25" spans="1:14" ht="14.5" x14ac:dyDescent="0.35">
      <c r="A25" s="16">
        <v>10108</v>
      </c>
      <c r="B25" s="16">
        <v>10102</v>
      </c>
      <c r="C25" s="24">
        <f t="shared" si="0"/>
        <v>160</v>
      </c>
    </row>
    <row r="26" spans="1:14" ht="14.5" x14ac:dyDescent="0.35">
      <c r="A26" s="16">
        <v>10100</v>
      </c>
      <c r="B26" s="16">
        <v>10106</v>
      </c>
      <c r="C26" s="24">
        <f t="shared" si="0"/>
        <v>185</v>
      </c>
    </row>
    <row r="27" spans="1:14" ht="14.5" x14ac:dyDescent="0.35">
      <c r="A27" s="16">
        <v>10108</v>
      </c>
      <c r="B27" s="16">
        <v>10110</v>
      </c>
      <c r="C27" s="24">
        <f t="shared" si="0"/>
        <v>50</v>
      </c>
    </row>
    <row r="28" spans="1:14" ht="14.5" x14ac:dyDescent="0.35">
      <c r="A28" s="16">
        <v>10102</v>
      </c>
      <c r="B28" s="16">
        <v>10104</v>
      </c>
      <c r="C28" s="24">
        <f t="shared" si="0"/>
        <v>-1</v>
      </c>
    </row>
    <row r="29" spans="1:14" ht="14.5" x14ac:dyDescent="0.35">
      <c r="A29" s="16">
        <v>10106</v>
      </c>
      <c r="B29" s="16">
        <v>10108</v>
      </c>
      <c r="C29" s="24">
        <f t="shared" si="0"/>
        <v>70</v>
      </c>
    </row>
    <row r="30" spans="1:14" ht="14.5" x14ac:dyDescent="0.35">
      <c r="A30" s="16">
        <v>10102</v>
      </c>
      <c r="B30" s="16">
        <v>10106</v>
      </c>
      <c r="C30" s="24">
        <f t="shared" si="0"/>
        <v>90</v>
      </c>
    </row>
    <row r="31" spans="1:14" ht="14.5" x14ac:dyDescent="0.35">
      <c r="A31" s="16">
        <v>10110</v>
      </c>
      <c r="B31" s="16">
        <v>10114</v>
      </c>
      <c r="C31" s="24">
        <f t="shared" si="0"/>
        <v>180</v>
      </c>
    </row>
    <row r="32" spans="1:14" ht="14.5" x14ac:dyDescent="0.35">
      <c r="A32" s="16">
        <v>10104</v>
      </c>
      <c r="B32" s="16">
        <v>10106</v>
      </c>
      <c r="C32" s="24">
        <f t="shared" si="0"/>
        <v>60</v>
      </c>
    </row>
    <row r="33" spans="1:3" ht="14.5" x14ac:dyDescent="0.35">
      <c r="A33" s="16">
        <v>10110</v>
      </c>
      <c r="B33" s="16">
        <v>10112</v>
      </c>
      <c r="C33" s="24">
        <f t="shared" si="0"/>
        <v>115</v>
      </c>
    </row>
    <row r="34" spans="1:3" ht="14.5" x14ac:dyDescent="0.35">
      <c r="A34" s="16">
        <v>10100</v>
      </c>
      <c r="B34" s="16">
        <v>10114</v>
      </c>
      <c r="C34" s="24">
        <f t="shared" si="0"/>
        <v>480</v>
      </c>
    </row>
    <row r="35" spans="1:3" ht="14.5" x14ac:dyDescent="0.35">
      <c r="A35" s="16">
        <v>10112</v>
      </c>
      <c r="B35" s="16">
        <v>10116</v>
      </c>
      <c r="C35" s="24">
        <f t="shared" si="0"/>
        <v>105</v>
      </c>
    </row>
  </sheetData>
  <mergeCells count="3">
    <mergeCell ref="B5:R5"/>
    <mergeCell ref="B6:R6"/>
    <mergeCell ref="B7:R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Anusha Rayankula</cp:lastModifiedBy>
  <dcterms:created xsi:type="dcterms:W3CDTF">2015-02-10T17:33:11Z</dcterms:created>
  <dcterms:modified xsi:type="dcterms:W3CDTF">2024-10-23T09:18:28Z</dcterms:modified>
</cp:coreProperties>
</file>